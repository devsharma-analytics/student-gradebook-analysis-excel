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 SHARMA\Downloads\"/>
    </mc:Choice>
  </mc:AlternateContent>
  <xr:revisionPtr revIDLastSave="0" documentId="8_{96FF8EAD-6B98-4F3C-823B-6A4A4B03756F}" xr6:coauthVersionLast="47" xr6:coauthVersionMax="47" xr10:uidLastSave="{00000000-0000-0000-0000-000000000000}"/>
  <bookViews>
    <workbookView xWindow="-120" yWindow="-120" windowWidth="20730" windowHeight="11040" xr2:uid="{3FCA44B2-D2BA-47BE-92BF-94AE06155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4" i="1" l="1"/>
  <c r="P24" i="1"/>
  <c r="O24" i="1"/>
  <c r="N24" i="1"/>
  <c r="M24" i="1"/>
  <c r="L24" i="1"/>
  <c r="Q23" i="1"/>
  <c r="P23" i="1"/>
  <c r="O23" i="1"/>
  <c r="N23" i="1"/>
  <c r="M23" i="1"/>
  <c r="L23" i="1"/>
  <c r="Q22" i="1"/>
  <c r="P22" i="1"/>
  <c r="O22" i="1"/>
  <c r="N22" i="1"/>
  <c r="M22" i="1"/>
  <c r="L22" i="1"/>
  <c r="I24" i="1"/>
  <c r="H24" i="1"/>
  <c r="G24" i="1"/>
  <c r="F24" i="1"/>
  <c r="E24" i="1"/>
  <c r="I23" i="1"/>
  <c r="H23" i="1"/>
  <c r="G23" i="1"/>
  <c r="F23" i="1"/>
  <c r="E23" i="1"/>
  <c r="I22" i="1"/>
  <c r="H22" i="1"/>
  <c r="G22" i="1"/>
  <c r="F22" i="1"/>
  <c r="E22" i="1"/>
  <c r="D24" i="1"/>
  <c r="D23" i="1"/>
  <c r="D22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M4" i="1"/>
  <c r="N4" i="1"/>
  <c r="O4" i="1"/>
  <c r="P4" i="1"/>
  <c r="Q4" i="1"/>
  <c r="M5" i="1"/>
  <c r="N5" i="1"/>
  <c r="O5" i="1"/>
  <c r="P5" i="1"/>
  <c r="Q5" i="1"/>
  <c r="M6" i="1"/>
  <c r="N6" i="1"/>
  <c r="O6" i="1"/>
  <c r="P6" i="1"/>
  <c r="Q6" i="1"/>
  <c r="M7" i="1"/>
  <c r="N7" i="1"/>
  <c r="O7" i="1"/>
  <c r="P7" i="1"/>
  <c r="Q7" i="1"/>
  <c r="M8" i="1"/>
  <c r="N8" i="1"/>
  <c r="O8" i="1"/>
  <c r="P8" i="1"/>
  <c r="Q8" i="1"/>
  <c r="M9" i="1"/>
  <c r="N9" i="1"/>
  <c r="O9" i="1"/>
  <c r="P9" i="1"/>
  <c r="Q9" i="1"/>
  <c r="M10" i="1"/>
  <c r="N10" i="1"/>
  <c r="O10" i="1"/>
  <c r="P10" i="1"/>
  <c r="Q10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M16" i="1"/>
  <c r="N16" i="1"/>
  <c r="O16" i="1"/>
  <c r="P16" i="1"/>
  <c r="Q16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M20" i="1"/>
  <c r="N20" i="1"/>
  <c r="O20" i="1"/>
  <c r="P20" i="1"/>
  <c r="Q20" i="1"/>
  <c r="S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4" i="1"/>
</calcChain>
</file>

<file path=xl/sharedStrings.xml><?xml version="1.0" encoding="utf-8"?>
<sst xmlns="http://schemas.openxmlformats.org/spreadsheetml/2006/main" count="54" uniqueCount="38">
  <si>
    <t xml:space="preserve"> </t>
  </si>
  <si>
    <t>First Name</t>
  </si>
  <si>
    <t>Last Name</t>
  </si>
  <si>
    <t>Vaibhav</t>
  </si>
  <si>
    <t>Sumit</t>
  </si>
  <si>
    <t>Kanika</t>
  </si>
  <si>
    <t>Rudra</t>
  </si>
  <si>
    <t>Mohit</t>
  </si>
  <si>
    <t>Raj</t>
  </si>
  <si>
    <t>Max</t>
  </si>
  <si>
    <t>Meenu</t>
  </si>
  <si>
    <t>Priya</t>
  </si>
  <si>
    <t>Rohit</t>
  </si>
  <si>
    <t>Ankit</t>
  </si>
  <si>
    <t>Monti</t>
  </si>
  <si>
    <t>Dev</t>
  </si>
  <si>
    <t>Jeevan</t>
  </si>
  <si>
    <t>Riya</t>
  </si>
  <si>
    <t>Saloni</t>
  </si>
  <si>
    <t>Sharma</t>
  </si>
  <si>
    <t>Kumar</t>
  </si>
  <si>
    <t>Gaur</t>
  </si>
  <si>
    <t>Malik</t>
  </si>
  <si>
    <t>Panchal</t>
  </si>
  <si>
    <t>Pal</t>
  </si>
  <si>
    <t>Kaur</t>
  </si>
  <si>
    <t>Khurana</t>
  </si>
  <si>
    <t>Singh</t>
  </si>
  <si>
    <t>English</t>
  </si>
  <si>
    <t>Maths</t>
  </si>
  <si>
    <t>11th Marksheet</t>
  </si>
  <si>
    <t>Accounts</t>
  </si>
  <si>
    <t>Physical</t>
  </si>
  <si>
    <t>Economy</t>
  </si>
  <si>
    <t>Business Studies</t>
  </si>
  <si>
    <t>Fail?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</si>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</sst>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Vaibhav</c:v>
                </c:pt>
                <c:pt idx="1">
                  <c:v>Sumit</c:v>
                </c:pt>
                <c:pt idx="2">
                  <c:v>Kanika</c:v>
                </c:pt>
                <c:pt idx="3">
                  <c:v>Rudra</c:v>
                </c:pt>
                <c:pt idx="4">
                  <c:v>Mohit</c:v>
                </c:pt>
                <c:pt idx="5">
                  <c:v>Raj</c:v>
                </c:pt>
                <c:pt idx="6">
                  <c:v>Max</c:v>
                </c:pt>
                <c:pt idx="7">
                  <c:v>Meenu</c:v>
                </c:pt>
                <c:pt idx="8">
                  <c:v>Priya</c:v>
                </c:pt>
                <c:pt idx="9">
                  <c:v>Rohit</c:v>
                </c:pt>
                <c:pt idx="10">
                  <c:v>Ankit</c:v>
                </c:pt>
                <c:pt idx="11">
                  <c:v>Monti</c:v>
                </c:pt>
                <c:pt idx="12">
                  <c:v>Sumit</c:v>
                </c:pt>
                <c:pt idx="13">
                  <c:v>Dev</c:v>
                </c:pt>
                <c:pt idx="14">
                  <c:v>Jeevan</c:v>
                </c:pt>
                <c:pt idx="15">
                  <c:v>Riya</c:v>
                </c:pt>
                <c:pt idx="16">
                  <c:v>Saloni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40</c:v>
                </c:pt>
                <c:pt idx="1">
                  <c:v>55</c:v>
                </c:pt>
                <c:pt idx="2">
                  <c:v>33</c:v>
                </c:pt>
                <c:pt idx="3">
                  <c:v>26</c:v>
                </c:pt>
                <c:pt idx="4">
                  <c:v>10</c:v>
                </c:pt>
                <c:pt idx="5">
                  <c:v>66</c:v>
                </c:pt>
                <c:pt idx="6">
                  <c:v>92</c:v>
                </c:pt>
                <c:pt idx="7">
                  <c:v>88</c:v>
                </c:pt>
                <c:pt idx="8">
                  <c:v>81</c:v>
                </c:pt>
                <c:pt idx="9">
                  <c:v>21</c:v>
                </c:pt>
                <c:pt idx="10">
                  <c:v>45</c:v>
                </c:pt>
                <c:pt idx="11">
                  <c:v>50</c:v>
                </c:pt>
                <c:pt idx="12">
                  <c:v>81</c:v>
                </c:pt>
                <c:pt idx="13">
                  <c:v>60</c:v>
                </c:pt>
                <c:pt idx="14">
                  <c:v>91</c:v>
                </c:pt>
                <c:pt idx="15">
                  <c:v>33</c:v>
                </c:pt>
                <c:pt idx="1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1-46D0-BC72-C0E5D1DA1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960240"/>
        <c:axId val="697977040"/>
      </c:barChart>
      <c:catAx>
        <c:axId val="69796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977040"/>
        <c:crosses val="autoZero"/>
        <c:auto val="1"/>
        <c:lblAlgn val="ctr"/>
        <c:lblOffset val="100"/>
        <c:noMultiLvlLbl val="0"/>
      </c:catAx>
      <c:valAx>
        <c:axId val="69797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96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English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Vaibhav</c:v>
                </c:pt>
                <c:pt idx="1">
                  <c:v>Sumit</c:v>
                </c:pt>
                <c:pt idx="2">
                  <c:v>Kanika</c:v>
                </c:pt>
                <c:pt idx="3">
                  <c:v>Rudra</c:v>
                </c:pt>
                <c:pt idx="4">
                  <c:v>Mohit</c:v>
                </c:pt>
                <c:pt idx="5">
                  <c:v>Raj</c:v>
                </c:pt>
                <c:pt idx="6">
                  <c:v>Max</c:v>
                </c:pt>
                <c:pt idx="7">
                  <c:v>Meenu</c:v>
                </c:pt>
                <c:pt idx="8">
                  <c:v>Priya</c:v>
                </c:pt>
                <c:pt idx="9">
                  <c:v>Rohit</c:v>
                </c:pt>
                <c:pt idx="10">
                  <c:v>Ankit</c:v>
                </c:pt>
                <c:pt idx="11">
                  <c:v>Monti</c:v>
                </c:pt>
                <c:pt idx="12">
                  <c:v>Sumit</c:v>
                </c:pt>
                <c:pt idx="13">
                  <c:v>Dev</c:v>
                </c:pt>
                <c:pt idx="14">
                  <c:v>Jeevan</c:v>
                </c:pt>
                <c:pt idx="15">
                  <c:v>Riya</c:v>
                </c:pt>
                <c:pt idx="16">
                  <c:v>Saloni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66</c:v>
                </c:pt>
                <c:pt idx="1">
                  <c:v>41</c:v>
                </c:pt>
                <c:pt idx="2">
                  <c:v>22</c:v>
                </c:pt>
                <c:pt idx="3">
                  <c:v>30</c:v>
                </c:pt>
                <c:pt idx="4">
                  <c:v>45</c:v>
                </c:pt>
                <c:pt idx="5">
                  <c:v>71</c:v>
                </c:pt>
                <c:pt idx="6">
                  <c:v>77</c:v>
                </c:pt>
                <c:pt idx="7">
                  <c:v>21</c:v>
                </c:pt>
                <c:pt idx="8">
                  <c:v>29</c:v>
                </c:pt>
                <c:pt idx="9">
                  <c:v>39</c:v>
                </c:pt>
                <c:pt idx="10">
                  <c:v>10</c:v>
                </c:pt>
                <c:pt idx="11">
                  <c:v>66</c:v>
                </c:pt>
                <c:pt idx="12">
                  <c:v>75</c:v>
                </c:pt>
                <c:pt idx="13">
                  <c:v>81</c:v>
                </c:pt>
                <c:pt idx="14">
                  <c:v>91</c:v>
                </c:pt>
                <c:pt idx="15">
                  <c:v>33</c:v>
                </c:pt>
                <c:pt idx="1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E-4333-9469-054F17949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911712"/>
        <c:axId val="930912192"/>
      </c:barChart>
      <c:catAx>
        <c:axId val="93091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12192"/>
        <c:crosses val="autoZero"/>
        <c:auto val="1"/>
        <c:lblAlgn val="ctr"/>
        <c:lblOffset val="100"/>
        <c:noMultiLvlLbl val="0"/>
      </c:catAx>
      <c:valAx>
        <c:axId val="93091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1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Vaibhav</c:v>
                </c:pt>
                <c:pt idx="1">
                  <c:v>Sumit</c:v>
                </c:pt>
                <c:pt idx="2">
                  <c:v>Kanika</c:v>
                </c:pt>
                <c:pt idx="3">
                  <c:v>Rudra</c:v>
                </c:pt>
                <c:pt idx="4">
                  <c:v>Mohit</c:v>
                </c:pt>
                <c:pt idx="5">
                  <c:v>Raj</c:v>
                </c:pt>
                <c:pt idx="6">
                  <c:v>Max</c:v>
                </c:pt>
                <c:pt idx="7">
                  <c:v>Meenu</c:v>
                </c:pt>
                <c:pt idx="8">
                  <c:v>Priya</c:v>
                </c:pt>
                <c:pt idx="9">
                  <c:v>Rohit</c:v>
                </c:pt>
                <c:pt idx="10">
                  <c:v>Ankit</c:v>
                </c:pt>
                <c:pt idx="11">
                  <c:v>Monti</c:v>
                </c:pt>
                <c:pt idx="12">
                  <c:v>Sumit</c:v>
                </c:pt>
                <c:pt idx="13">
                  <c:v>Dev</c:v>
                </c:pt>
                <c:pt idx="14">
                  <c:v>Jeevan</c:v>
                </c:pt>
                <c:pt idx="15">
                  <c:v>Riya</c:v>
                </c:pt>
                <c:pt idx="16">
                  <c:v>Saloni</c:v>
                </c:pt>
              </c:strCache>
            </c:strRef>
          </c:cat>
          <c:val>
            <c:numRef>
              <c:f>Sheet1!$F$4:$F$20</c:f>
              <c:numCache>
                <c:formatCode>General</c:formatCode>
                <c:ptCount val="17"/>
                <c:pt idx="0">
                  <c:v>60</c:v>
                </c:pt>
                <c:pt idx="1">
                  <c:v>43</c:v>
                </c:pt>
                <c:pt idx="2">
                  <c:v>55</c:v>
                </c:pt>
                <c:pt idx="3">
                  <c:v>51</c:v>
                </c:pt>
                <c:pt idx="4">
                  <c:v>26</c:v>
                </c:pt>
                <c:pt idx="5">
                  <c:v>76</c:v>
                </c:pt>
                <c:pt idx="6">
                  <c:v>71</c:v>
                </c:pt>
                <c:pt idx="7">
                  <c:v>88</c:v>
                </c:pt>
                <c:pt idx="8">
                  <c:v>59</c:v>
                </c:pt>
                <c:pt idx="9">
                  <c:v>59</c:v>
                </c:pt>
                <c:pt idx="10">
                  <c:v>100</c:v>
                </c:pt>
                <c:pt idx="11">
                  <c:v>94</c:v>
                </c:pt>
                <c:pt idx="12">
                  <c:v>100</c:v>
                </c:pt>
                <c:pt idx="13">
                  <c:v>55</c:v>
                </c:pt>
                <c:pt idx="14">
                  <c:v>51</c:v>
                </c:pt>
                <c:pt idx="15">
                  <c:v>83</c:v>
                </c:pt>
                <c:pt idx="1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7-43D0-B2D9-70B382BFC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948240"/>
        <c:axId val="697931920"/>
      </c:barChart>
      <c:catAx>
        <c:axId val="69794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931920"/>
        <c:crosses val="autoZero"/>
        <c:auto val="1"/>
        <c:lblAlgn val="ctr"/>
        <c:lblOffset val="100"/>
        <c:noMultiLvlLbl val="0"/>
      </c:catAx>
      <c:valAx>
        <c:axId val="69793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94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Physical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Vaibhav</c:v>
                </c:pt>
                <c:pt idx="1">
                  <c:v>Sumit</c:v>
                </c:pt>
                <c:pt idx="2">
                  <c:v>Kanika</c:v>
                </c:pt>
                <c:pt idx="3">
                  <c:v>Rudra</c:v>
                </c:pt>
                <c:pt idx="4">
                  <c:v>Mohit</c:v>
                </c:pt>
                <c:pt idx="5">
                  <c:v>Raj</c:v>
                </c:pt>
                <c:pt idx="6">
                  <c:v>Max</c:v>
                </c:pt>
                <c:pt idx="7">
                  <c:v>Meenu</c:v>
                </c:pt>
                <c:pt idx="8">
                  <c:v>Priya</c:v>
                </c:pt>
                <c:pt idx="9">
                  <c:v>Rohit</c:v>
                </c:pt>
                <c:pt idx="10">
                  <c:v>Ankit</c:v>
                </c:pt>
                <c:pt idx="11">
                  <c:v>Monti</c:v>
                </c:pt>
                <c:pt idx="12">
                  <c:v>Sumit</c:v>
                </c:pt>
                <c:pt idx="13">
                  <c:v>Dev</c:v>
                </c:pt>
                <c:pt idx="14">
                  <c:v>Jeevan</c:v>
                </c:pt>
                <c:pt idx="15">
                  <c:v>Riya</c:v>
                </c:pt>
                <c:pt idx="16">
                  <c:v>Saloni</c:v>
                </c:pt>
              </c:strCache>
            </c:strRef>
          </c:cat>
          <c:val>
            <c:numRef>
              <c:f>Sheet1!$G$4:$G$20</c:f>
              <c:numCache>
                <c:formatCode>General</c:formatCode>
                <c:ptCount val="17"/>
                <c:pt idx="0">
                  <c:v>51</c:v>
                </c:pt>
                <c:pt idx="1">
                  <c:v>43</c:v>
                </c:pt>
                <c:pt idx="2">
                  <c:v>59</c:v>
                </c:pt>
                <c:pt idx="3">
                  <c:v>70</c:v>
                </c:pt>
                <c:pt idx="4">
                  <c:v>46</c:v>
                </c:pt>
                <c:pt idx="5">
                  <c:v>39</c:v>
                </c:pt>
                <c:pt idx="6">
                  <c:v>100</c:v>
                </c:pt>
                <c:pt idx="7">
                  <c:v>81</c:v>
                </c:pt>
                <c:pt idx="8">
                  <c:v>83</c:v>
                </c:pt>
                <c:pt idx="9">
                  <c:v>85</c:v>
                </c:pt>
                <c:pt idx="10">
                  <c:v>49</c:v>
                </c:pt>
                <c:pt idx="11">
                  <c:v>73</c:v>
                </c:pt>
                <c:pt idx="12">
                  <c:v>70</c:v>
                </c:pt>
                <c:pt idx="13">
                  <c:v>20</c:v>
                </c:pt>
                <c:pt idx="14">
                  <c:v>10</c:v>
                </c:pt>
                <c:pt idx="15">
                  <c:v>100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F-4EBE-80B1-8B18F1AEB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565936"/>
        <c:axId val="832242320"/>
      </c:barChart>
      <c:catAx>
        <c:axId val="93356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242320"/>
        <c:crosses val="autoZero"/>
        <c:auto val="1"/>
        <c:lblAlgn val="ctr"/>
        <c:lblOffset val="100"/>
        <c:noMultiLvlLbl val="0"/>
      </c:catAx>
      <c:valAx>
        <c:axId val="8322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56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Economy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Vaibhav</c:v>
                </c:pt>
                <c:pt idx="1">
                  <c:v>Sumit</c:v>
                </c:pt>
                <c:pt idx="2">
                  <c:v>Kanika</c:v>
                </c:pt>
                <c:pt idx="3">
                  <c:v>Rudra</c:v>
                </c:pt>
                <c:pt idx="4">
                  <c:v>Mohit</c:v>
                </c:pt>
                <c:pt idx="5">
                  <c:v>Raj</c:v>
                </c:pt>
                <c:pt idx="6">
                  <c:v>Max</c:v>
                </c:pt>
                <c:pt idx="7">
                  <c:v>Meenu</c:v>
                </c:pt>
                <c:pt idx="8">
                  <c:v>Priya</c:v>
                </c:pt>
                <c:pt idx="9">
                  <c:v>Rohit</c:v>
                </c:pt>
                <c:pt idx="10">
                  <c:v>Ankit</c:v>
                </c:pt>
                <c:pt idx="11">
                  <c:v>Monti</c:v>
                </c:pt>
                <c:pt idx="12">
                  <c:v>Sumit</c:v>
                </c:pt>
                <c:pt idx="13">
                  <c:v>Dev</c:v>
                </c:pt>
                <c:pt idx="14">
                  <c:v>Jeevan</c:v>
                </c:pt>
                <c:pt idx="15">
                  <c:v>Riya</c:v>
                </c:pt>
                <c:pt idx="16">
                  <c:v>Saloni</c:v>
                </c:pt>
              </c:strCache>
            </c:strRef>
          </c:cat>
          <c:val>
            <c:numRef>
              <c:f>Sheet1!$H$4:$H$20</c:f>
              <c:numCache>
                <c:formatCode>General</c:formatCode>
                <c:ptCount val="17"/>
                <c:pt idx="0">
                  <c:v>40</c:v>
                </c:pt>
                <c:pt idx="1">
                  <c:v>33</c:v>
                </c:pt>
                <c:pt idx="2">
                  <c:v>31</c:v>
                </c:pt>
                <c:pt idx="3">
                  <c:v>56</c:v>
                </c:pt>
                <c:pt idx="4">
                  <c:v>78</c:v>
                </c:pt>
                <c:pt idx="5">
                  <c:v>39</c:v>
                </c:pt>
                <c:pt idx="6">
                  <c:v>68</c:v>
                </c:pt>
                <c:pt idx="7">
                  <c:v>40</c:v>
                </c:pt>
                <c:pt idx="8">
                  <c:v>80</c:v>
                </c:pt>
                <c:pt idx="9">
                  <c:v>44</c:v>
                </c:pt>
                <c:pt idx="10">
                  <c:v>47</c:v>
                </c:pt>
                <c:pt idx="11">
                  <c:v>50</c:v>
                </c:pt>
                <c:pt idx="12">
                  <c:v>55</c:v>
                </c:pt>
                <c:pt idx="13">
                  <c:v>81</c:v>
                </c:pt>
                <c:pt idx="14">
                  <c:v>95</c:v>
                </c:pt>
                <c:pt idx="15">
                  <c:v>33</c:v>
                </c:pt>
                <c:pt idx="1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2-4F76-B93B-0CF2F46A3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984240"/>
        <c:axId val="697987120"/>
      </c:barChart>
      <c:catAx>
        <c:axId val="69798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987120"/>
        <c:crosses val="autoZero"/>
        <c:auto val="1"/>
        <c:lblAlgn val="ctr"/>
        <c:lblOffset val="100"/>
        <c:noMultiLvlLbl val="0"/>
      </c:catAx>
      <c:valAx>
        <c:axId val="69798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98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Business</a:t>
            </a:r>
            <a:r>
              <a:rPr lang="en-IN" baseline="0"/>
              <a:t> Studies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Vaibhav</c:v>
                </c:pt>
                <c:pt idx="1">
                  <c:v>Sumit</c:v>
                </c:pt>
                <c:pt idx="2">
                  <c:v>Kanika</c:v>
                </c:pt>
                <c:pt idx="3">
                  <c:v>Rudra</c:v>
                </c:pt>
                <c:pt idx="4">
                  <c:v>Mohit</c:v>
                </c:pt>
                <c:pt idx="5">
                  <c:v>Raj</c:v>
                </c:pt>
                <c:pt idx="6">
                  <c:v>Max</c:v>
                </c:pt>
                <c:pt idx="7">
                  <c:v>Meenu</c:v>
                </c:pt>
                <c:pt idx="8">
                  <c:v>Priya</c:v>
                </c:pt>
                <c:pt idx="9">
                  <c:v>Rohit</c:v>
                </c:pt>
                <c:pt idx="10">
                  <c:v>Ankit</c:v>
                </c:pt>
                <c:pt idx="11">
                  <c:v>Monti</c:v>
                </c:pt>
                <c:pt idx="12">
                  <c:v>Sumit</c:v>
                </c:pt>
                <c:pt idx="13">
                  <c:v>Dev</c:v>
                </c:pt>
                <c:pt idx="14">
                  <c:v>Jeevan</c:v>
                </c:pt>
                <c:pt idx="15">
                  <c:v>Riya</c:v>
                </c:pt>
                <c:pt idx="16">
                  <c:v>Saloni</c:v>
                </c:pt>
              </c:strCache>
            </c:strRef>
          </c:cat>
          <c:val>
            <c:numRef>
              <c:f>Sheet1!$I$4:$I$20</c:f>
              <c:numCache>
                <c:formatCode>General</c:formatCode>
                <c:ptCount val="17"/>
                <c:pt idx="0">
                  <c:v>90</c:v>
                </c:pt>
                <c:pt idx="1">
                  <c:v>20</c:v>
                </c:pt>
                <c:pt idx="2">
                  <c:v>21</c:v>
                </c:pt>
                <c:pt idx="3">
                  <c:v>30</c:v>
                </c:pt>
                <c:pt idx="4">
                  <c:v>77</c:v>
                </c:pt>
                <c:pt idx="5">
                  <c:v>73</c:v>
                </c:pt>
                <c:pt idx="6">
                  <c:v>39</c:v>
                </c:pt>
                <c:pt idx="7">
                  <c:v>49</c:v>
                </c:pt>
                <c:pt idx="8">
                  <c:v>46</c:v>
                </c:pt>
                <c:pt idx="9">
                  <c:v>55</c:v>
                </c:pt>
                <c:pt idx="10">
                  <c:v>51</c:v>
                </c:pt>
                <c:pt idx="11">
                  <c:v>52</c:v>
                </c:pt>
                <c:pt idx="12">
                  <c:v>100</c:v>
                </c:pt>
                <c:pt idx="13">
                  <c:v>88</c:v>
                </c:pt>
                <c:pt idx="14">
                  <c:v>67</c:v>
                </c:pt>
                <c:pt idx="15">
                  <c:v>81</c:v>
                </c:pt>
                <c:pt idx="16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7-41B1-B637-1D1520483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321504"/>
        <c:axId val="968321984"/>
      </c:barChart>
      <c:catAx>
        <c:axId val="96832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321984"/>
        <c:crosses val="autoZero"/>
        <c:auto val="1"/>
        <c:lblAlgn val="ctr"/>
        <c:lblOffset val="100"/>
        <c:noMultiLvlLbl val="0"/>
      </c:catAx>
      <c:valAx>
        <c:axId val="96832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32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600657</xdr:colOff>
      <xdr:row>3</xdr:row>
      <xdr:rowOff>8554</xdr:rowOff>
    </xdr:from>
    <xdr:to>
      <xdr:col>28</xdr:col>
      <xdr:colOff>351840</xdr:colOff>
      <xdr:row>17</xdr:row>
      <xdr:rowOff>30325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D45E5-03A0-A5D3-14B9-D9C281FC4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18</xdr:row>
      <xdr:rowOff>19050</xdr:rowOff>
    </xdr:from>
    <xdr:to>
      <xdr:col>28</xdr:col>
      <xdr:colOff>304800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DBAAD0-905A-4DF0-C6C4-D43D7DBB5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34</xdr:row>
      <xdr:rowOff>19050</xdr:rowOff>
    </xdr:from>
    <xdr:to>
      <xdr:col>28</xdr:col>
      <xdr:colOff>304800</xdr:colOff>
      <xdr:row>48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99E385-360F-433C-4EA0-94B153220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23362</xdr:colOff>
      <xdr:row>3</xdr:row>
      <xdr:rowOff>12221</xdr:rowOff>
    </xdr:from>
    <xdr:to>
      <xdr:col>36</xdr:col>
      <xdr:colOff>318098</xdr:colOff>
      <xdr:row>16</xdr:row>
      <xdr:rowOff>185469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33DFE3-30A7-62D4-3233-088C174EA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5390</xdr:colOff>
      <xdr:row>17</xdr:row>
      <xdr:rowOff>191938</xdr:rowOff>
    </xdr:from>
    <xdr:to>
      <xdr:col>36</xdr:col>
      <xdr:colOff>300126</xdr:colOff>
      <xdr:row>31</xdr:row>
      <xdr:rowOff>167496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D4786C-A71C-D250-BB5E-6E33B6957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23362</xdr:colOff>
      <xdr:row>34</xdr:row>
      <xdr:rowOff>12220</xdr:rowOff>
    </xdr:from>
    <xdr:to>
      <xdr:col>36</xdr:col>
      <xdr:colOff>318098</xdr:colOff>
      <xdr:row>47</xdr:row>
      <xdr:rowOff>185468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D9F8A48-BA92-678F-FB81-4CB12E5EE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5931-E6BE-4697-81C0-3A971C26B325}">
  <dimension ref="A1:S24"/>
  <sheetViews>
    <sheetView tabSelected="1" topLeftCell="A2" zoomScale="62" zoomScaleNormal="400" workbookViewId="0">
      <selection activeCell="AC54" sqref="AC54"/>
    </sheetView>
  </sheetViews>
  <sheetFormatPr defaultRowHeight="15" x14ac:dyDescent="0.25"/>
  <cols>
    <col min="1" max="1" width="11.140625" customWidth="1"/>
    <col min="2" max="2" width="10.140625" customWidth="1"/>
    <col min="4" max="4" width="6.140625" customWidth="1"/>
    <col min="5" max="5" width="6.7109375" customWidth="1"/>
    <col min="6" max="6" width="6.85546875" customWidth="1"/>
    <col min="7" max="7" width="7.28515625" customWidth="1"/>
    <col min="8" max="9" width="6.42578125" customWidth="1"/>
  </cols>
  <sheetData>
    <row r="1" spans="1:19" x14ac:dyDescent="0.25">
      <c r="A1" t="s">
        <v>30</v>
      </c>
    </row>
    <row r="2" spans="1:19" ht="83.25" x14ac:dyDescent="0.25">
      <c r="A2" t="s">
        <v>0</v>
      </c>
      <c r="D2" s="1" t="s">
        <v>31</v>
      </c>
      <c r="E2" s="1" t="s">
        <v>28</v>
      </c>
      <c r="F2" s="1" t="s">
        <v>29</v>
      </c>
      <c r="G2" s="1" t="s">
        <v>32</v>
      </c>
      <c r="H2" s="1" t="s">
        <v>33</v>
      </c>
      <c r="I2" s="1" t="s">
        <v>34</v>
      </c>
      <c r="J2" s="1"/>
      <c r="L2" s="1" t="s">
        <v>31</v>
      </c>
      <c r="M2" s="1" t="s">
        <v>28</v>
      </c>
      <c r="N2" s="1" t="s">
        <v>29</v>
      </c>
      <c r="O2" s="1" t="s">
        <v>32</v>
      </c>
      <c r="P2" s="1" t="s">
        <v>33</v>
      </c>
      <c r="Q2" s="1" t="s">
        <v>34</v>
      </c>
      <c r="S2" s="1" t="s">
        <v>35</v>
      </c>
    </row>
    <row r="3" spans="1:19" x14ac:dyDescent="0.25">
      <c r="A3" t="s">
        <v>1</v>
      </c>
      <c r="B3" t="s">
        <v>2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19" x14ac:dyDescent="0.25">
      <c r="A4" t="s">
        <v>3</v>
      </c>
      <c r="B4" t="s">
        <v>19</v>
      </c>
      <c r="D4">
        <v>40</v>
      </c>
      <c r="E4">
        <v>66</v>
      </c>
      <c r="F4">
        <v>60</v>
      </c>
      <c r="G4">
        <v>51</v>
      </c>
      <c r="H4">
        <v>40</v>
      </c>
      <c r="I4">
        <v>90</v>
      </c>
      <c r="L4" s="2">
        <f>D4/D$3</f>
        <v>0.4</v>
      </c>
      <c r="M4" s="2">
        <f t="shared" ref="M4:Q19" si="0">E4/E$3</f>
        <v>0.66</v>
      </c>
      <c r="N4" s="2">
        <f t="shared" si="0"/>
        <v>0.6</v>
      </c>
      <c r="O4" s="2">
        <f t="shared" si="0"/>
        <v>0.51</v>
      </c>
      <c r="P4" s="2">
        <f t="shared" si="0"/>
        <v>0.4</v>
      </c>
      <c r="Q4" s="2">
        <f t="shared" si="0"/>
        <v>0.9</v>
      </c>
      <c r="S4" s="2" t="b">
        <f>OR(D4&lt;32,E4&lt;32,F4&lt;32,G4&lt;32,H4&lt;32,I4&lt;32)</f>
        <v>0</v>
      </c>
    </row>
    <row r="5" spans="1:19" x14ac:dyDescent="0.25">
      <c r="A5" t="s">
        <v>4</v>
      </c>
      <c r="B5" t="s">
        <v>20</v>
      </c>
      <c r="D5">
        <v>55</v>
      </c>
      <c r="E5">
        <v>41</v>
      </c>
      <c r="F5">
        <v>43</v>
      </c>
      <c r="G5">
        <v>43</v>
      </c>
      <c r="H5">
        <v>33</v>
      </c>
      <c r="I5">
        <v>20</v>
      </c>
      <c r="L5" s="2">
        <f t="shared" ref="L5:L20" si="1">D5/D$3</f>
        <v>0.55000000000000004</v>
      </c>
      <c r="M5" s="2">
        <f t="shared" si="0"/>
        <v>0.41</v>
      </c>
      <c r="N5" s="2">
        <f t="shared" si="0"/>
        <v>0.43</v>
      </c>
      <c r="O5" s="2">
        <f t="shared" si="0"/>
        <v>0.43</v>
      </c>
      <c r="P5" s="2">
        <f t="shared" si="0"/>
        <v>0.33</v>
      </c>
      <c r="Q5" s="2">
        <f t="shared" si="0"/>
        <v>0.2</v>
      </c>
      <c r="S5" s="2" t="b">
        <f t="shared" ref="S5:S20" si="2">OR(D5&lt;32,E5&lt;32,F5&lt;32,G5&lt;32,H5&lt;32,I5&lt;32)</f>
        <v>1</v>
      </c>
    </row>
    <row r="6" spans="1:19" x14ac:dyDescent="0.25">
      <c r="A6" t="s">
        <v>5</v>
      </c>
      <c r="B6" t="s">
        <v>21</v>
      </c>
      <c r="D6">
        <v>33</v>
      </c>
      <c r="E6">
        <v>22</v>
      </c>
      <c r="F6">
        <v>55</v>
      </c>
      <c r="G6">
        <v>59</v>
      </c>
      <c r="H6">
        <v>31</v>
      </c>
      <c r="I6">
        <v>21</v>
      </c>
      <c r="L6" s="2">
        <f t="shared" si="1"/>
        <v>0.33</v>
      </c>
      <c r="M6" s="2">
        <f t="shared" si="0"/>
        <v>0.22</v>
      </c>
      <c r="N6" s="2">
        <f t="shared" si="0"/>
        <v>0.55000000000000004</v>
      </c>
      <c r="O6" s="2">
        <f t="shared" si="0"/>
        <v>0.59</v>
      </c>
      <c r="P6" s="2">
        <f t="shared" si="0"/>
        <v>0.31</v>
      </c>
      <c r="Q6" s="2">
        <f t="shared" si="0"/>
        <v>0.21</v>
      </c>
      <c r="S6" s="2" t="b">
        <f t="shared" si="2"/>
        <v>1</v>
      </c>
    </row>
    <row r="7" spans="1:19" x14ac:dyDescent="0.25">
      <c r="A7" t="s">
        <v>6</v>
      </c>
      <c r="B7" t="s">
        <v>22</v>
      </c>
      <c r="D7">
        <v>26</v>
      </c>
      <c r="E7">
        <v>30</v>
      </c>
      <c r="F7">
        <v>51</v>
      </c>
      <c r="G7">
        <v>70</v>
      </c>
      <c r="H7">
        <v>56</v>
      </c>
      <c r="I7">
        <v>30</v>
      </c>
      <c r="L7" s="2">
        <f t="shared" si="1"/>
        <v>0.26</v>
      </c>
      <c r="M7" s="2">
        <f t="shared" si="0"/>
        <v>0.3</v>
      </c>
      <c r="N7" s="2">
        <f t="shared" si="0"/>
        <v>0.51</v>
      </c>
      <c r="O7" s="2">
        <f t="shared" si="0"/>
        <v>0.7</v>
      </c>
      <c r="P7" s="2">
        <f t="shared" si="0"/>
        <v>0.56000000000000005</v>
      </c>
      <c r="Q7" s="2">
        <f t="shared" si="0"/>
        <v>0.3</v>
      </c>
      <c r="S7" s="2" t="b">
        <f t="shared" si="2"/>
        <v>1</v>
      </c>
    </row>
    <row r="8" spans="1:19" x14ac:dyDescent="0.25">
      <c r="A8" t="s">
        <v>7</v>
      </c>
      <c r="B8" t="s">
        <v>23</v>
      </c>
      <c r="D8">
        <v>10</v>
      </c>
      <c r="E8">
        <v>45</v>
      </c>
      <c r="F8">
        <v>26</v>
      </c>
      <c r="G8">
        <v>46</v>
      </c>
      <c r="H8">
        <v>78</v>
      </c>
      <c r="I8">
        <v>77</v>
      </c>
      <c r="L8" s="2">
        <f t="shared" si="1"/>
        <v>0.1</v>
      </c>
      <c r="M8" s="2">
        <f t="shared" si="0"/>
        <v>0.45</v>
      </c>
      <c r="N8" s="2">
        <f t="shared" si="0"/>
        <v>0.26</v>
      </c>
      <c r="O8" s="2">
        <f t="shared" si="0"/>
        <v>0.46</v>
      </c>
      <c r="P8" s="2">
        <f t="shared" si="0"/>
        <v>0.78</v>
      </c>
      <c r="Q8" s="2">
        <f t="shared" si="0"/>
        <v>0.77</v>
      </c>
      <c r="S8" s="2" t="b">
        <f t="shared" si="2"/>
        <v>1</v>
      </c>
    </row>
    <row r="9" spans="1:19" x14ac:dyDescent="0.25">
      <c r="A9" t="s">
        <v>8</v>
      </c>
      <c r="B9" t="s">
        <v>19</v>
      </c>
      <c r="D9">
        <v>66</v>
      </c>
      <c r="E9">
        <v>71</v>
      </c>
      <c r="F9">
        <v>76</v>
      </c>
      <c r="G9">
        <v>39</v>
      </c>
      <c r="H9">
        <v>39</v>
      </c>
      <c r="I9">
        <v>73</v>
      </c>
      <c r="L9" s="2">
        <f t="shared" si="1"/>
        <v>0.66</v>
      </c>
      <c r="M9" s="2">
        <f t="shared" si="0"/>
        <v>0.71</v>
      </c>
      <c r="N9" s="2">
        <f t="shared" si="0"/>
        <v>0.76</v>
      </c>
      <c r="O9" s="2">
        <f t="shared" si="0"/>
        <v>0.39</v>
      </c>
      <c r="P9" s="2">
        <f t="shared" si="0"/>
        <v>0.39</v>
      </c>
      <c r="Q9" s="2">
        <f t="shared" si="0"/>
        <v>0.73</v>
      </c>
      <c r="S9" s="2" t="b">
        <f t="shared" si="2"/>
        <v>0</v>
      </c>
    </row>
    <row r="10" spans="1:19" x14ac:dyDescent="0.25">
      <c r="A10" t="s">
        <v>9</v>
      </c>
      <c r="B10" t="s">
        <v>20</v>
      </c>
      <c r="D10">
        <v>92</v>
      </c>
      <c r="E10">
        <v>77</v>
      </c>
      <c r="F10">
        <v>71</v>
      </c>
      <c r="G10">
        <v>100</v>
      </c>
      <c r="H10">
        <v>68</v>
      </c>
      <c r="I10">
        <v>39</v>
      </c>
      <c r="L10" s="2">
        <f t="shared" si="1"/>
        <v>0.92</v>
      </c>
      <c r="M10" s="2">
        <f t="shared" si="0"/>
        <v>0.77</v>
      </c>
      <c r="N10" s="2">
        <f t="shared" si="0"/>
        <v>0.71</v>
      </c>
      <c r="O10" s="2">
        <f t="shared" si="0"/>
        <v>1</v>
      </c>
      <c r="P10" s="2">
        <f t="shared" si="0"/>
        <v>0.68</v>
      </c>
      <c r="Q10" s="2">
        <f t="shared" si="0"/>
        <v>0.39</v>
      </c>
      <c r="S10" s="2" t="b">
        <f t="shared" si="2"/>
        <v>0</v>
      </c>
    </row>
    <row r="11" spans="1:19" x14ac:dyDescent="0.25">
      <c r="A11" t="s">
        <v>10</v>
      </c>
      <c r="B11" t="s">
        <v>24</v>
      </c>
      <c r="D11">
        <v>88</v>
      </c>
      <c r="E11">
        <v>21</v>
      </c>
      <c r="F11">
        <v>88</v>
      </c>
      <c r="G11">
        <v>81</v>
      </c>
      <c r="H11">
        <v>40</v>
      </c>
      <c r="I11">
        <v>49</v>
      </c>
      <c r="L11" s="2">
        <f t="shared" si="1"/>
        <v>0.88</v>
      </c>
      <c r="M11" s="2">
        <f t="shared" si="0"/>
        <v>0.21</v>
      </c>
      <c r="N11" s="2">
        <f t="shared" si="0"/>
        <v>0.88</v>
      </c>
      <c r="O11" s="2">
        <f t="shared" si="0"/>
        <v>0.81</v>
      </c>
      <c r="P11" s="2">
        <f t="shared" si="0"/>
        <v>0.4</v>
      </c>
      <c r="Q11" s="2">
        <f t="shared" si="0"/>
        <v>0.49</v>
      </c>
      <c r="S11" s="2" t="b">
        <f t="shared" si="2"/>
        <v>1</v>
      </c>
    </row>
    <row r="12" spans="1:19" x14ac:dyDescent="0.25">
      <c r="A12" t="s">
        <v>11</v>
      </c>
      <c r="B12" t="s">
        <v>23</v>
      </c>
      <c r="D12">
        <v>81</v>
      </c>
      <c r="E12">
        <v>29</v>
      </c>
      <c r="F12">
        <v>59</v>
      </c>
      <c r="G12">
        <v>83</v>
      </c>
      <c r="H12">
        <v>80</v>
      </c>
      <c r="I12">
        <v>46</v>
      </c>
      <c r="L12" s="2">
        <f t="shared" si="1"/>
        <v>0.81</v>
      </c>
      <c r="M12" s="2">
        <f t="shared" si="0"/>
        <v>0.28999999999999998</v>
      </c>
      <c r="N12" s="2">
        <f t="shared" si="0"/>
        <v>0.59</v>
      </c>
      <c r="O12" s="2">
        <f t="shared" si="0"/>
        <v>0.83</v>
      </c>
      <c r="P12" s="2">
        <f t="shared" si="0"/>
        <v>0.8</v>
      </c>
      <c r="Q12" s="2">
        <f t="shared" si="0"/>
        <v>0.46</v>
      </c>
      <c r="S12" s="2" t="b">
        <f t="shared" si="2"/>
        <v>1</v>
      </c>
    </row>
    <row r="13" spans="1:19" x14ac:dyDescent="0.25">
      <c r="A13" t="s">
        <v>12</v>
      </c>
      <c r="B13" t="s">
        <v>22</v>
      </c>
      <c r="D13">
        <v>21</v>
      </c>
      <c r="E13">
        <v>39</v>
      </c>
      <c r="F13">
        <v>59</v>
      </c>
      <c r="G13">
        <v>85</v>
      </c>
      <c r="H13">
        <v>44</v>
      </c>
      <c r="I13">
        <v>55</v>
      </c>
      <c r="L13" s="2">
        <f t="shared" si="1"/>
        <v>0.21</v>
      </c>
      <c r="M13" s="2">
        <f t="shared" si="0"/>
        <v>0.39</v>
      </c>
      <c r="N13" s="2">
        <f t="shared" si="0"/>
        <v>0.59</v>
      </c>
      <c r="O13" s="2">
        <f t="shared" si="0"/>
        <v>0.85</v>
      </c>
      <c r="P13" s="2">
        <f t="shared" si="0"/>
        <v>0.44</v>
      </c>
      <c r="Q13" s="2">
        <f t="shared" si="0"/>
        <v>0.55000000000000004</v>
      </c>
      <c r="S13" s="2" t="b">
        <f t="shared" si="2"/>
        <v>1</v>
      </c>
    </row>
    <row r="14" spans="1:19" x14ac:dyDescent="0.25">
      <c r="A14" t="s">
        <v>13</v>
      </c>
      <c r="B14" t="s">
        <v>21</v>
      </c>
      <c r="D14">
        <v>45</v>
      </c>
      <c r="E14">
        <v>10</v>
      </c>
      <c r="F14">
        <v>100</v>
      </c>
      <c r="G14">
        <v>49</v>
      </c>
      <c r="H14">
        <v>47</v>
      </c>
      <c r="I14">
        <v>51</v>
      </c>
      <c r="L14" s="2">
        <f t="shared" si="1"/>
        <v>0.45</v>
      </c>
      <c r="M14" s="2">
        <f t="shared" si="0"/>
        <v>0.1</v>
      </c>
      <c r="N14" s="2">
        <f t="shared" si="0"/>
        <v>1</v>
      </c>
      <c r="O14" s="2">
        <f t="shared" si="0"/>
        <v>0.49</v>
      </c>
      <c r="P14" s="2">
        <f t="shared" si="0"/>
        <v>0.47</v>
      </c>
      <c r="Q14" s="2">
        <f t="shared" si="0"/>
        <v>0.51</v>
      </c>
      <c r="S14" s="2" t="b">
        <f t="shared" si="2"/>
        <v>1</v>
      </c>
    </row>
    <row r="15" spans="1:19" x14ac:dyDescent="0.25">
      <c r="A15" t="s">
        <v>14</v>
      </c>
      <c r="B15" t="s">
        <v>19</v>
      </c>
      <c r="D15">
        <v>50</v>
      </c>
      <c r="E15">
        <v>66</v>
      </c>
      <c r="F15">
        <v>94</v>
      </c>
      <c r="G15">
        <v>73</v>
      </c>
      <c r="H15">
        <v>50</v>
      </c>
      <c r="I15">
        <v>52</v>
      </c>
      <c r="L15" s="2">
        <f t="shared" si="1"/>
        <v>0.5</v>
      </c>
      <c r="M15" s="2">
        <f t="shared" si="0"/>
        <v>0.66</v>
      </c>
      <c r="N15" s="2">
        <f t="shared" si="0"/>
        <v>0.94</v>
      </c>
      <c r="O15" s="2">
        <f t="shared" si="0"/>
        <v>0.73</v>
      </c>
      <c r="P15" s="2">
        <f t="shared" si="0"/>
        <v>0.5</v>
      </c>
      <c r="Q15" s="2">
        <f t="shared" si="0"/>
        <v>0.52</v>
      </c>
      <c r="S15" s="2" t="b">
        <f t="shared" si="2"/>
        <v>0</v>
      </c>
    </row>
    <row r="16" spans="1:19" x14ac:dyDescent="0.25">
      <c r="A16" t="s">
        <v>4</v>
      </c>
      <c r="B16" t="s">
        <v>25</v>
      </c>
      <c r="D16">
        <v>81</v>
      </c>
      <c r="E16">
        <v>75</v>
      </c>
      <c r="F16">
        <v>100</v>
      </c>
      <c r="G16">
        <v>70</v>
      </c>
      <c r="H16">
        <v>55</v>
      </c>
      <c r="I16">
        <v>100</v>
      </c>
      <c r="L16" s="2">
        <f t="shared" si="1"/>
        <v>0.81</v>
      </c>
      <c r="M16" s="2">
        <f t="shared" si="0"/>
        <v>0.75</v>
      </c>
      <c r="N16" s="2">
        <f t="shared" si="0"/>
        <v>1</v>
      </c>
      <c r="O16" s="2">
        <f t="shared" si="0"/>
        <v>0.7</v>
      </c>
      <c r="P16" s="2">
        <f t="shared" si="0"/>
        <v>0.55000000000000004</v>
      </c>
      <c r="Q16" s="2">
        <f t="shared" si="0"/>
        <v>1</v>
      </c>
      <c r="S16" s="2" t="b">
        <f t="shared" si="2"/>
        <v>0</v>
      </c>
    </row>
    <row r="17" spans="1:19" x14ac:dyDescent="0.25">
      <c r="A17" t="s">
        <v>15</v>
      </c>
      <c r="B17" t="s">
        <v>19</v>
      </c>
      <c r="D17">
        <v>60</v>
      </c>
      <c r="E17">
        <v>81</v>
      </c>
      <c r="F17">
        <v>55</v>
      </c>
      <c r="G17">
        <v>20</v>
      </c>
      <c r="H17">
        <v>81</v>
      </c>
      <c r="I17">
        <v>88</v>
      </c>
      <c r="L17" s="2">
        <f t="shared" si="1"/>
        <v>0.6</v>
      </c>
      <c r="M17" s="2">
        <f t="shared" si="0"/>
        <v>0.81</v>
      </c>
      <c r="N17" s="2">
        <f t="shared" si="0"/>
        <v>0.55000000000000004</v>
      </c>
      <c r="O17" s="2">
        <f t="shared" si="0"/>
        <v>0.2</v>
      </c>
      <c r="P17" s="2">
        <f t="shared" si="0"/>
        <v>0.81</v>
      </c>
      <c r="Q17" s="2">
        <f t="shared" si="0"/>
        <v>0.88</v>
      </c>
      <c r="S17" s="2" t="b">
        <f t="shared" si="2"/>
        <v>1</v>
      </c>
    </row>
    <row r="18" spans="1:19" x14ac:dyDescent="0.25">
      <c r="A18" t="s">
        <v>16</v>
      </c>
      <c r="B18" t="s">
        <v>26</v>
      </c>
      <c r="D18">
        <v>91</v>
      </c>
      <c r="E18">
        <v>91</v>
      </c>
      <c r="F18">
        <v>51</v>
      </c>
      <c r="G18">
        <v>10</v>
      </c>
      <c r="H18">
        <v>95</v>
      </c>
      <c r="I18">
        <v>67</v>
      </c>
      <c r="L18" s="2">
        <f t="shared" si="1"/>
        <v>0.91</v>
      </c>
      <c r="M18" s="2">
        <f t="shared" si="0"/>
        <v>0.91</v>
      </c>
      <c r="N18" s="2">
        <f t="shared" si="0"/>
        <v>0.51</v>
      </c>
      <c r="O18" s="2">
        <f t="shared" si="0"/>
        <v>0.1</v>
      </c>
      <c r="P18" s="2">
        <f t="shared" si="0"/>
        <v>0.95</v>
      </c>
      <c r="Q18" s="2">
        <f t="shared" si="0"/>
        <v>0.67</v>
      </c>
      <c r="S18" s="2" t="b">
        <f t="shared" si="2"/>
        <v>1</v>
      </c>
    </row>
    <row r="19" spans="1:19" x14ac:dyDescent="0.25">
      <c r="A19" t="s">
        <v>17</v>
      </c>
      <c r="B19" t="s">
        <v>27</v>
      </c>
      <c r="D19">
        <v>33</v>
      </c>
      <c r="E19">
        <v>33</v>
      </c>
      <c r="F19">
        <v>83</v>
      </c>
      <c r="G19">
        <v>100</v>
      </c>
      <c r="H19">
        <v>33</v>
      </c>
      <c r="I19">
        <v>81</v>
      </c>
      <c r="L19" s="2">
        <f t="shared" si="1"/>
        <v>0.33</v>
      </c>
      <c r="M19" s="2">
        <f t="shared" si="0"/>
        <v>0.33</v>
      </c>
      <c r="N19" s="2">
        <f t="shared" si="0"/>
        <v>0.83</v>
      </c>
      <c r="O19" s="2">
        <f t="shared" si="0"/>
        <v>1</v>
      </c>
      <c r="P19" s="2">
        <f t="shared" si="0"/>
        <v>0.33</v>
      </c>
      <c r="Q19" s="2">
        <f t="shared" si="0"/>
        <v>0.81</v>
      </c>
      <c r="S19" s="2" t="b">
        <f t="shared" si="2"/>
        <v>0</v>
      </c>
    </row>
    <row r="20" spans="1:19" x14ac:dyDescent="0.25">
      <c r="A20" t="s">
        <v>18</v>
      </c>
      <c r="B20" t="s">
        <v>20</v>
      </c>
      <c r="D20">
        <v>12</v>
      </c>
      <c r="E20">
        <v>22</v>
      </c>
      <c r="F20">
        <v>44</v>
      </c>
      <c r="G20">
        <v>10</v>
      </c>
      <c r="H20">
        <v>44</v>
      </c>
      <c r="I20">
        <v>49</v>
      </c>
      <c r="L20" s="2">
        <f t="shared" si="1"/>
        <v>0.12</v>
      </c>
      <c r="M20" s="2">
        <f t="shared" ref="M20" si="3">E20/E$3</f>
        <v>0.22</v>
      </c>
      <c r="N20" s="2">
        <f t="shared" ref="N20" si="4">F20/F$3</f>
        <v>0.44</v>
      </c>
      <c r="O20" s="2">
        <f t="shared" ref="O20" si="5">G20/G$3</f>
        <v>0.1</v>
      </c>
      <c r="P20" s="2">
        <f t="shared" ref="P20" si="6">H20/H$3</f>
        <v>0.44</v>
      </c>
      <c r="Q20" s="2">
        <f t="shared" ref="Q20" si="7">I20/I$3</f>
        <v>0.49</v>
      </c>
      <c r="S20" s="2" t="b">
        <f t="shared" si="2"/>
        <v>1</v>
      </c>
    </row>
    <row r="22" spans="1:19" x14ac:dyDescent="0.25">
      <c r="A22" t="s">
        <v>36</v>
      </c>
      <c r="D22">
        <f>MIN(D4:D20)</f>
        <v>10</v>
      </c>
      <c r="E22">
        <f t="shared" ref="E22:I22" si="8">MIN(E4:E20)</f>
        <v>10</v>
      </c>
      <c r="F22">
        <f t="shared" si="8"/>
        <v>26</v>
      </c>
      <c r="G22">
        <f t="shared" si="8"/>
        <v>10</v>
      </c>
      <c r="H22">
        <f t="shared" si="8"/>
        <v>31</v>
      </c>
      <c r="I22">
        <f t="shared" si="8"/>
        <v>20</v>
      </c>
      <c r="L22" s="2">
        <f>MIN(L4:L20)</f>
        <v>0.1</v>
      </c>
      <c r="M22" s="2">
        <f t="shared" ref="M22:Q22" si="9">MIN(M4:M20)</f>
        <v>0.1</v>
      </c>
      <c r="N22" s="2">
        <f t="shared" si="9"/>
        <v>0.26</v>
      </c>
      <c r="O22" s="2">
        <f t="shared" si="9"/>
        <v>0.1</v>
      </c>
      <c r="P22" s="2">
        <f t="shared" si="9"/>
        <v>0.31</v>
      </c>
      <c r="Q22" s="2">
        <f t="shared" si="9"/>
        <v>0.2</v>
      </c>
    </row>
    <row r="23" spans="1:19" x14ac:dyDescent="0.25">
      <c r="A23" t="s">
        <v>9</v>
      </c>
      <c r="D23">
        <f>MAX(D4:D20)</f>
        <v>92</v>
      </c>
      <c r="E23">
        <f t="shared" ref="E23:I23" si="10">MAX(E4:E20)</f>
        <v>91</v>
      </c>
      <c r="F23">
        <f t="shared" si="10"/>
        <v>100</v>
      </c>
      <c r="G23">
        <f t="shared" si="10"/>
        <v>100</v>
      </c>
      <c r="H23">
        <f t="shared" si="10"/>
        <v>95</v>
      </c>
      <c r="I23">
        <f t="shared" si="10"/>
        <v>100</v>
      </c>
      <c r="L23" s="2">
        <f>MAX(L4:L20)</f>
        <v>0.92</v>
      </c>
      <c r="M23" s="2">
        <f t="shared" ref="M23:Q23" si="11">MAX(M4:M20)</f>
        <v>0.91</v>
      </c>
      <c r="N23" s="2">
        <f t="shared" si="11"/>
        <v>1</v>
      </c>
      <c r="O23" s="2">
        <f t="shared" si="11"/>
        <v>1</v>
      </c>
      <c r="P23" s="2">
        <f t="shared" si="11"/>
        <v>0.95</v>
      </c>
      <c r="Q23" s="2">
        <f t="shared" si="11"/>
        <v>1</v>
      </c>
    </row>
    <row r="24" spans="1:19" x14ac:dyDescent="0.25">
      <c r="A24" t="s">
        <v>37</v>
      </c>
      <c r="D24">
        <f>AVERAGE(D4:D20)</f>
        <v>52</v>
      </c>
      <c r="E24" s="3">
        <f t="shared" ref="E24:I24" si="12">AVERAGE(E4:E20)</f>
        <v>48.176470588235297</v>
      </c>
      <c r="F24" s="3">
        <f t="shared" si="12"/>
        <v>65.588235294117652</v>
      </c>
      <c r="G24" s="3">
        <f t="shared" si="12"/>
        <v>58.176470588235297</v>
      </c>
      <c r="H24" s="3">
        <f t="shared" si="12"/>
        <v>53.764705882352942</v>
      </c>
      <c r="I24" s="3">
        <f t="shared" si="12"/>
        <v>58.117647058823529</v>
      </c>
      <c r="L24" s="2">
        <f>AVERAGE(L4:L20)</f>
        <v>0.52</v>
      </c>
      <c r="M24" s="2">
        <f t="shared" ref="M24:Q24" si="13">AVERAGE(M4:M20)</f>
        <v>0.48176470588235293</v>
      </c>
      <c r="N24" s="2">
        <f t="shared" si="13"/>
        <v>0.65588235294117636</v>
      </c>
      <c r="O24" s="2">
        <f t="shared" si="13"/>
        <v>0.58176470588235285</v>
      </c>
      <c r="P24" s="2">
        <f t="shared" si="13"/>
        <v>0.53764705882352937</v>
      </c>
      <c r="Q24" s="2">
        <f t="shared" si="13"/>
        <v>0.58117647058823529</v>
      </c>
    </row>
  </sheetData>
  <conditionalFormatting sqref="D4:D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I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L4:Q20">
    <cfRule type="cellIs" dxfId="2" priority="2" operator="lessThan">
      <formula>0.33</formula>
    </cfRule>
  </conditionalFormatting>
  <conditionalFormatting sqref="S4:S20">
    <cfRule type="containsText" dxfId="0" priority="1" operator="containsText" text="True">
      <formula>NOT(ISERROR(SEARCH("True",S4)))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sharma</dc:creator>
  <cp:lastModifiedBy>pragati sharma</cp:lastModifiedBy>
  <dcterms:created xsi:type="dcterms:W3CDTF">2026-02-19T13:00:00Z</dcterms:created>
  <dcterms:modified xsi:type="dcterms:W3CDTF">2026-02-19T13:46:32Z</dcterms:modified>
</cp:coreProperties>
</file>